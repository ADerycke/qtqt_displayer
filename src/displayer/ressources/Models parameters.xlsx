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is\Documents\Spyder\qtqt_displayer_prjt\qtqt_displayer\src\displayer\ressources\"/>
    </mc:Choice>
  </mc:AlternateContent>
  <xr:revisionPtr revIDLastSave="0" documentId="13_ncr:1_{EEE71FD5-3F0D-4C42-916B-89029D38E890}" xr6:coauthVersionLast="47" xr6:coauthVersionMax="47" xr10:uidLastSave="{00000000-0000-0000-0000-000000000000}"/>
  <bookViews>
    <workbookView xWindow="-120" yWindow="-120" windowWidth="29040" windowHeight="15840" xr2:uid="{C65AB145-78BA-4340-BED1-F1418AA3D3EB}"/>
  </bookViews>
  <sheets>
    <sheet name="Radiation models" sheetId="1" r:id="rId1"/>
    <sheet name="Annealing models" sheetId="2" r:id="rId2"/>
    <sheet name="Composition models" sheetId="3" r:id="rId3"/>
    <sheet name="Crystal paramete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" i="1" l="1"/>
  <c r="J7" i="1"/>
  <c r="I7" i="1"/>
</calcChain>
</file>

<file path=xl/sharedStrings.xml><?xml version="1.0" encoding="utf-8"?>
<sst xmlns="http://schemas.openxmlformats.org/spreadsheetml/2006/main" count="135" uniqueCount="92">
  <si>
    <t>Rs resample method</t>
  </si>
  <si>
    <t>Crystal geometry</t>
  </si>
  <si>
    <t>Creator</t>
  </si>
  <si>
    <t>Distance Ejection (µm)</t>
  </si>
  <si>
    <t>Do (m²/s)</t>
  </si>
  <si>
    <t>Activation Energy (J/mol)</t>
  </si>
  <si>
    <t>c0</t>
  </si>
  <si>
    <t>c1</t>
  </si>
  <si>
    <t>c2</t>
  </si>
  <si>
    <t>c3</t>
  </si>
  <si>
    <t>Cristal</t>
  </si>
  <si>
    <t>Type</t>
  </si>
  <si>
    <t>Apatite</t>
  </si>
  <si>
    <t>A</t>
  </si>
  <si>
    <t>infinite slab</t>
  </si>
  <si>
    <t>None</t>
  </si>
  <si>
    <t xml:space="preserve"> Dpar</t>
  </si>
  <si>
    <t>Dpar</t>
  </si>
  <si>
    <t>Zircon</t>
  </si>
  <si>
    <t>Z</t>
  </si>
  <si>
    <t>infinite cylinder</t>
  </si>
  <si>
    <t>Gautheron et al. (2009)</t>
  </si>
  <si>
    <t>Gautheron</t>
  </si>
  <si>
    <t>Ketcham (99)</t>
  </si>
  <si>
    <t xml:space="preserve"> Cl (apfu)</t>
  </si>
  <si>
    <t>K-Ar/Ar</t>
  </si>
  <si>
    <t>K</t>
  </si>
  <si>
    <t>sphere (2T)</t>
  </si>
  <si>
    <t>Flowers et al. (2009)</t>
  </si>
  <si>
    <t>Flowers</t>
  </si>
  <si>
    <t xml:space="preserve"> OH (apfu)</t>
  </si>
  <si>
    <t>OH</t>
  </si>
  <si>
    <t>Other</t>
  </si>
  <si>
    <t>O</t>
  </si>
  <si>
    <t>0T fragment</t>
  </si>
  <si>
    <t>Guenthner et al. (2007)</t>
  </si>
  <si>
    <t>Guenthner</t>
  </si>
  <si>
    <t>Ketcham (07)</t>
  </si>
  <si>
    <t xml:space="preserve"> Cl (wt%)</t>
  </si>
  <si>
    <t>1T fragment</t>
  </si>
  <si>
    <t>Gerin (Gautheron)</t>
  </si>
  <si>
    <t>Tagami et al. (1998)</t>
  </si>
  <si>
    <t>rmr0</t>
  </si>
  <si>
    <t>Gerin (Ketcham)</t>
  </si>
  <si>
    <t>Yamada (short)</t>
  </si>
  <si>
    <t>Gerin (Laslett)</t>
  </si>
  <si>
    <t>Yamada (long)</t>
  </si>
  <si>
    <t>Willett (Flowers)</t>
  </si>
  <si>
    <t>Ginster (Guenthner)</t>
  </si>
  <si>
    <t>Guenthner (resample)</t>
  </si>
  <si>
    <t>Derycke (Gerin-Ketcham)</t>
  </si>
  <si>
    <t>0 0 70 0,1 0,3 0,15</t>
  </si>
  <si>
    <t>QTQt value</t>
  </si>
  <si>
    <t>Laslett (87)</t>
  </si>
  <si>
    <t>Laslett-Ket (87)</t>
  </si>
  <si>
    <t>Tagami (98)</t>
  </si>
  <si>
    <t>Laslett et al. (1987)</t>
  </si>
  <si>
    <t>Divers</t>
  </si>
  <si>
    <t xml:space="preserve">Ketcham et al. (1999) </t>
  </si>
  <si>
    <t>multikinetic</t>
  </si>
  <si>
    <t>recoded by R. Ketcham</t>
  </si>
  <si>
    <t>Ketcham et al. (2007)</t>
  </si>
  <si>
    <t>Yamada et al. (2007)</t>
  </si>
  <si>
    <t>short time calculation</t>
  </si>
  <si>
    <t>long time calculation</t>
  </si>
  <si>
    <t xml:space="preserve"> rmr0</t>
  </si>
  <si>
    <t>Short name</t>
  </si>
  <si>
    <t>helps: if the error is non-zero the value will be sample from a normal distribution centred on the value with a standard deviation equal to the error</t>
  </si>
  <si>
    <t>helps: annealing model use for fission tracks</t>
  </si>
  <si>
    <t>Methods</t>
  </si>
  <si>
    <t>MC</t>
  </si>
  <si>
    <t>random</t>
  </si>
  <si>
    <t>MCMC</t>
  </si>
  <si>
    <t>Crystal type</t>
  </si>
  <si>
    <t>perturbation</t>
  </si>
  <si>
    <t xml:space="preserve">helps: radiation models code </t>
  </si>
  <si>
    <t xml:space="preserve">helps: radiation models parameters </t>
  </si>
  <si>
    <t>G2015 Gau - Gerin et al. (2017)</t>
  </si>
  <si>
    <t>G2015 Ket -  Gerin et al. (2017)</t>
  </si>
  <si>
    <t>G2015 Las - Gerin et al. (2017)</t>
  </si>
  <si>
    <t>Willett et al. (2017)</t>
  </si>
  <si>
    <t>Ginster et al. (2017)</t>
  </si>
  <si>
    <t xml:space="preserve"> base on Ketcham et using Derycke calibration</t>
  </si>
  <si>
    <t>base on Ketcham FT annealing kinetic (negative for DEa resampling)</t>
  </si>
  <si>
    <t>base on Gautheron damage annealing kinetic, including the Gautheron "q" parameter (negative for DEa resampling)</t>
  </si>
  <si>
    <t>base on Laslett FT annealing kinetic (negative for DEa resampling)</t>
  </si>
  <si>
    <t>modification of Flowers model</t>
  </si>
  <si>
    <t>modification of Guenthner</t>
  </si>
  <si>
    <t>any</t>
  </si>
  <si>
    <t>Cl</t>
  </si>
  <si>
    <t>with rmr0 + κ = 1,04 where 0,6 &lt; rmr0 &lt; 0,8 (0,6=low resistance  /  0,8 = hight resistance)</t>
  </si>
  <si>
    <t>helps: all parameters related to cristal modeling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</si>
</sst>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4"/>
      <name val="Aptos Narrow"/>
      <family val="2"/>
      <scheme val="minor"/>
    </font>
    <font>
      <sz val="14"/>
      <name val="Aptos Narrow"/>
      <family val="2"/>
      <scheme val="minor"/>
    </font>
    <font>
      <sz val="14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i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left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left" vertical="center"/>
    </xf>
    <xf numFmtId="0" fontId="7" fillId="0" borderId="0" xfId="0" applyFont="1"/>
    <xf numFmtId="0" fontId="0" fillId="0" borderId="0" xfId="0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5" borderId="0" xfId="0" applyFill="1" applyAlignment="1"/>
    <xf numFmtId="0" fontId="4" fillId="5" borderId="0" xfId="0" applyFont="1" applyFill="1" applyAlignment="1">
      <alignment horizontal="left" vertical="center"/>
    </xf>
    <xf numFmtId="0" fontId="0" fillId="0" borderId="0" xfId="0" applyFont="1" applyBorder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left"/>
    </xf>
    <xf numFmtId="0" fontId="4" fillId="6" borderId="0" xfId="0" applyFont="1" applyFill="1" applyAlignment="1">
      <alignment horizontal="left"/>
    </xf>
    <xf numFmtId="0" fontId="8" fillId="5" borderId="0" xfId="0" applyFont="1" applyFill="1" applyAlignment="1"/>
    <xf numFmtId="0" fontId="8" fillId="6" borderId="0" xfId="0" applyFont="1" applyFill="1"/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0" fillId="0" borderId="0" xfId="0" applyFont="1"/>
    <xf numFmtId="0" fontId="4" fillId="0" borderId="0" xfId="0" applyFont="1" applyAlignment="1"/>
    <xf numFmtId="0" fontId="0" fillId="0" borderId="0" xfId="0" applyFont="1" applyBorder="1"/>
    <xf numFmtId="0" fontId="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/>
    </xf>
    <xf numFmtId="0" fontId="5" fillId="7" borderId="2" xfId="0" applyFont="1" applyFill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top"/>
    </xf>
    <xf numFmtId="0" fontId="0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top"/>
    </xf>
    <xf numFmtId="0" fontId="4" fillId="0" borderId="3" xfId="0" applyFont="1" applyBorder="1" applyAlignment="1"/>
    <xf numFmtId="0" fontId="0" fillId="0" borderId="3" xfId="0" applyFont="1" applyBorder="1" applyAlignment="1">
      <alignment horizontal="center" vertical="center" wrapText="1"/>
    </xf>
    <xf numFmtId="11" fontId="0" fillId="0" borderId="0" xfId="0" applyNumberFormat="1" applyFont="1" applyBorder="1" applyAlignment="1">
      <alignment horizontal="center" vertical="center"/>
    </xf>
    <xf numFmtId="3" fontId="1" fillId="0" borderId="0" xfId="1" applyNumberFormat="1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5" fillId="9" borderId="0" xfId="0" applyFont="1" applyFill="1" applyBorder="1" applyAlignment="1">
      <alignment vertical="center"/>
    </xf>
    <xf numFmtId="0" fontId="5" fillId="9" borderId="4" xfId="0" applyFont="1" applyFill="1" applyBorder="1" applyAlignment="1">
      <alignment vertical="center"/>
    </xf>
    <xf numFmtId="0" fontId="5" fillId="9" borderId="0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11" fontId="0" fillId="0" borderId="0" xfId="0" applyNumberFormat="1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3" fontId="10" fillId="0" borderId="0" xfId="1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0" fillId="3" borderId="0" xfId="0" applyFont="1" applyFill="1" applyAlignment="1"/>
    <xf numFmtId="0" fontId="4" fillId="3" borderId="0" xfId="0" applyFont="1" applyFill="1" applyAlignment="1"/>
    <xf numFmtId="0" fontId="7" fillId="3" borderId="0" xfId="0" applyFont="1" applyFill="1" applyAlignment="1">
      <alignment horizontal="left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D702C-6AA8-4361-AF7F-8B5D9063582E}">
  <dimension ref="A1:L13"/>
  <sheetViews>
    <sheetView tabSelected="1" workbookViewId="0">
      <selection activeCell="C24" sqref="C24"/>
    </sheetView>
  </sheetViews>
  <sheetFormatPr baseColWidth="10" defaultRowHeight="15" x14ac:dyDescent="0.25"/>
  <cols>
    <col min="2" max="2" width="38.28515625" style="13" customWidth="1"/>
    <col min="3" max="4" width="25.28515625" style="6" customWidth="1"/>
    <col min="5" max="5" width="17.42578125" style="6" customWidth="1"/>
    <col min="6" max="6" width="14" style="6" customWidth="1"/>
    <col min="7" max="7" width="14.5703125" style="6" customWidth="1"/>
    <col min="8" max="10" width="11.42578125" style="6"/>
    <col min="11" max="11" width="36.5703125" style="6" customWidth="1"/>
    <col min="12" max="12" width="58" style="20" customWidth="1"/>
  </cols>
  <sheetData>
    <row r="1" spans="1:12" s="1" customFormat="1" ht="56.25" x14ac:dyDescent="0.25">
      <c r="A1" s="51" t="s">
        <v>10</v>
      </c>
      <c r="B1" s="51" t="s">
        <v>2</v>
      </c>
      <c r="C1" s="52" t="s">
        <v>66</v>
      </c>
      <c r="D1" s="53" t="s">
        <v>52</v>
      </c>
      <c r="E1" s="54" t="s">
        <v>3</v>
      </c>
      <c r="F1" s="54" t="s">
        <v>4</v>
      </c>
      <c r="G1" s="54" t="s">
        <v>5</v>
      </c>
      <c r="H1" s="51" t="s">
        <v>6</v>
      </c>
      <c r="I1" s="51" t="s">
        <v>7</v>
      </c>
      <c r="J1" s="51" t="s">
        <v>8</v>
      </c>
      <c r="K1" s="51" t="s">
        <v>9</v>
      </c>
      <c r="L1" s="55" t="s">
        <v>57</v>
      </c>
    </row>
    <row r="2" spans="1:12" s="2" customFormat="1" ht="18.75" x14ac:dyDescent="0.25">
      <c r="A2" s="50" t="s">
        <v>75</v>
      </c>
      <c r="B2" s="50"/>
      <c r="C2" s="48"/>
      <c r="D2" s="48"/>
      <c r="E2" s="49" t="s">
        <v>76</v>
      </c>
      <c r="F2" s="48"/>
      <c r="G2" s="48"/>
      <c r="H2" s="50"/>
      <c r="I2" s="50"/>
      <c r="J2" s="50"/>
      <c r="K2" s="50"/>
      <c r="L2" s="50"/>
    </row>
    <row r="3" spans="1:12" s="3" customFormat="1" x14ac:dyDescent="0.25">
      <c r="A3" s="3" t="s">
        <v>88</v>
      </c>
      <c r="B3" s="18" t="s">
        <v>15</v>
      </c>
      <c r="C3" s="23" t="s">
        <v>15</v>
      </c>
      <c r="D3" s="23">
        <v>0</v>
      </c>
      <c r="E3" s="47">
        <v>18.93</v>
      </c>
      <c r="F3" s="45">
        <v>5.0000000000000001E-3</v>
      </c>
      <c r="G3" s="46">
        <v>138000</v>
      </c>
      <c r="H3" s="18"/>
      <c r="I3" s="18"/>
      <c r="J3" s="18"/>
      <c r="K3" s="18"/>
      <c r="L3" s="57"/>
    </row>
    <row r="4" spans="1:12" s="3" customFormat="1" x14ac:dyDescent="0.25">
      <c r="A4" s="3" t="s">
        <v>12</v>
      </c>
      <c r="B4" s="18" t="s">
        <v>21</v>
      </c>
      <c r="C4" s="23" t="s">
        <v>22</v>
      </c>
      <c r="D4" s="23">
        <v>1</v>
      </c>
      <c r="E4" s="47">
        <v>18.93</v>
      </c>
      <c r="F4" s="45">
        <v>1.9999999999999999E-7</v>
      </c>
      <c r="G4" s="46">
        <v>109200</v>
      </c>
      <c r="H4" s="56">
        <v>2.3999999999999998E-7</v>
      </c>
      <c r="I4" s="18">
        <v>13</v>
      </c>
      <c r="J4" s="18">
        <v>0.22500000000000001</v>
      </c>
      <c r="K4" s="18">
        <v>-5451</v>
      </c>
      <c r="L4" s="57"/>
    </row>
    <row r="5" spans="1:12" s="3" customFormat="1" x14ac:dyDescent="0.25">
      <c r="A5" s="3" t="s">
        <v>12</v>
      </c>
      <c r="B5" s="18" t="s">
        <v>28</v>
      </c>
      <c r="C5" s="23" t="s">
        <v>29</v>
      </c>
      <c r="D5" s="23">
        <v>2</v>
      </c>
      <c r="E5" s="47">
        <v>19.8</v>
      </c>
      <c r="F5" s="45">
        <v>6.0714000000000002E-5</v>
      </c>
      <c r="G5" s="46">
        <v>122300</v>
      </c>
      <c r="H5" s="18"/>
      <c r="I5" s="18"/>
      <c r="J5" s="18"/>
      <c r="K5" s="18"/>
      <c r="L5" s="57"/>
    </row>
    <row r="6" spans="1:12" s="3" customFormat="1" x14ac:dyDescent="0.25">
      <c r="A6" s="3" t="s">
        <v>18</v>
      </c>
      <c r="B6" s="18" t="s">
        <v>35</v>
      </c>
      <c r="C6" s="23" t="s">
        <v>36</v>
      </c>
      <c r="D6" s="23">
        <v>3</v>
      </c>
      <c r="E6" s="47">
        <v>15.65</v>
      </c>
      <c r="F6" s="45">
        <v>19.3188</v>
      </c>
      <c r="G6" s="46">
        <v>165000</v>
      </c>
      <c r="H6" s="18"/>
      <c r="I6" s="18"/>
      <c r="J6" s="18"/>
      <c r="K6" s="18"/>
      <c r="L6" s="57"/>
    </row>
    <row r="7" spans="1:12" s="4" customFormat="1" ht="30" x14ac:dyDescent="0.25">
      <c r="A7" s="4" t="s">
        <v>12</v>
      </c>
      <c r="B7" s="18" t="s">
        <v>77</v>
      </c>
      <c r="C7" s="23" t="s">
        <v>40</v>
      </c>
      <c r="D7" s="23">
        <v>4</v>
      </c>
      <c r="E7" s="47">
        <v>18.93</v>
      </c>
      <c r="F7" s="45">
        <v>1.9999999999999999E-7</v>
      </c>
      <c r="G7" s="46">
        <v>100100</v>
      </c>
      <c r="H7" s="18">
        <v>2.0506984818469548E-7</v>
      </c>
      <c r="I7" s="18">
        <f t="shared" ref="I7:K7" si="0">I4</f>
        <v>13</v>
      </c>
      <c r="J7" s="18">
        <f t="shared" si="0"/>
        <v>0.22500000000000001</v>
      </c>
      <c r="K7" s="18">
        <f t="shared" si="0"/>
        <v>-5451</v>
      </c>
      <c r="L7" s="57" t="s">
        <v>84</v>
      </c>
    </row>
    <row r="8" spans="1:12" s="4" customFormat="1" ht="30" x14ac:dyDescent="0.25">
      <c r="A8" s="4" t="s">
        <v>12</v>
      </c>
      <c r="B8" s="18" t="s">
        <v>78</v>
      </c>
      <c r="C8" s="23" t="s">
        <v>43</v>
      </c>
      <c r="D8" s="23">
        <v>5</v>
      </c>
      <c r="E8" s="47">
        <v>18.93</v>
      </c>
      <c r="F8" s="45">
        <v>1.9999999999999999E-7</v>
      </c>
      <c r="G8" s="46">
        <v>100100</v>
      </c>
      <c r="H8" s="18">
        <v>2.0506984818469548E-7</v>
      </c>
      <c r="I8" s="18">
        <v>0.83</v>
      </c>
      <c r="J8" s="18">
        <v>0</v>
      </c>
      <c r="K8" s="18">
        <v>0</v>
      </c>
      <c r="L8" s="57" t="s">
        <v>83</v>
      </c>
    </row>
    <row r="9" spans="1:12" s="5" customFormat="1" ht="30" x14ac:dyDescent="0.25">
      <c r="A9" s="4" t="s">
        <v>12</v>
      </c>
      <c r="B9" s="18" t="s">
        <v>79</v>
      </c>
      <c r="C9" s="23" t="s">
        <v>45</v>
      </c>
      <c r="D9" s="23">
        <v>6</v>
      </c>
      <c r="E9" s="47">
        <v>18.93</v>
      </c>
      <c r="F9" s="45">
        <v>1.9999999999999999E-7</v>
      </c>
      <c r="G9" s="46">
        <v>100100</v>
      </c>
      <c r="H9" s="18">
        <v>2.0506984818469548E-7</v>
      </c>
      <c r="I9" s="18">
        <v>-4.87</v>
      </c>
      <c r="J9" s="18">
        <v>1.6799999999999999E-4</v>
      </c>
      <c r="K9" s="18">
        <v>-28.12</v>
      </c>
      <c r="L9" s="57" t="s">
        <v>85</v>
      </c>
    </row>
    <row r="10" spans="1:12" x14ac:dyDescent="0.25">
      <c r="A10" s="58" t="s">
        <v>12</v>
      </c>
      <c r="B10" s="18" t="s">
        <v>80</v>
      </c>
      <c r="C10" s="23" t="s">
        <v>47</v>
      </c>
      <c r="D10" s="60">
        <v>-2</v>
      </c>
      <c r="E10" s="47">
        <v>18.93</v>
      </c>
      <c r="F10" s="45">
        <v>6.0714000000000002E-5</v>
      </c>
      <c r="G10" s="46">
        <v>122300</v>
      </c>
      <c r="H10" s="18"/>
      <c r="I10" s="18"/>
      <c r="J10" s="18"/>
      <c r="K10" s="18"/>
      <c r="L10" s="20" t="s">
        <v>86</v>
      </c>
    </row>
    <row r="11" spans="1:12" x14ac:dyDescent="0.25">
      <c r="A11" s="58" t="s">
        <v>18</v>
      </c>
      <c r="B11" s="18" t="s">
        <v>81</v>
      </c>
      <c r="C11" s="23" t="s">
        <v>48</v>
      </c>
      <c r="D11" s="60">
        <v>-3</v>
      </c>
      <c r="E11" s="47">
        <v>15.65</v>
      </c>
      <c r="F11" s="45">
        <v>6.8999999999999997E-5</v>
      </c>
      <c r="G11" s="46">
        <v>169000</v>
      </c>
      <c r="H11" s="18"/>
      <c r="I11" s="18"/>
      <c r="J11" s="18"/>
      <c r="K11" s="18"/>
      <c r="L11" s="20" t="s">
        <v>87</v>
      </c>
    </row>
    <row r="12" spans="1:12" x14ac:dyDescent="0.25">
      <c r="A12" s="58" t="s">
        <v>18</v>
      </c>
      <c r="B12" s="18" t="s">
        <v>35</v>
      </c>
      <c r="C12" s="23" t="s">
        <v>49</v>
      </c>
      <c r="D12" s="23">
        <v>3</v>
      </c>
      <c r="E12" s="47">
        <v>15.65</v>
      </c>
      <c r="F12" s="45">
        <v>19.3188</v>
      </c>
      <c r="G12" s="59">
        <v>-165000</v>
      </c>
      <c r="H12" s="18"/>
      <c r="I12" s="18"/>
      <c r="J12" s="18"/>
      <c r="K12" s="18"/>
    </row>
    <row r="13" spans="1:12" x14ac:dyDescent="0.25">
      <c r="A13" s="58" t="s">
        <v>12</v>
      </c>
      <c r="B13" s="18" t="s">
        <v>78</v>
      </c>
      <c r="C13" s="23" t="s">
        <v>50</v>
      </c>
      <c r="D13" s="60">
        <v>-5</v>
      </c>
      <c r="E13" s="47">
        <v>18.93</v>
      </c>
      <c r="F13" s="45">
        <v>1.9999999999999999E-7</v>
      </c>
      <c r="G13" s="46">
        <v>100100</v>
      </c>
      <c r="H13" s="18">
        <v>2.0506984818469548E-7</v>
      </c>
      <c r="I13" s="18">
        <v>0.73</v>
      </c>
      <c r="J13" s="18">
        <v>0</v>
      </c>
      <c r="K13" s="18" t="s">
        <v>51</v>
      </c>
      <c r="L13" s="20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3C353-7D7A-4DE6-98E9-9485AA7E6A82}">
  <dimension ref="A1:E9"/>
  <sheetViews>
    <sheetView workbookViewId="0">
      <selection activeCell="C1" sqref="C1"/>
    </sheetView>
  </sheetViews>
  <sheetFormatPr baseColWidth="10" defaultRowHeight="15" x14ac:dyDescent="0.25"/>
  <cols>
    <col min="1" max="1" width="20.7109375" customWidth="1"/>
    <col min="2" max="2" width="50.5703125" style="7" customWidth="1"/>
    <col min="3" max="3" width="20.7109375" customWidth="1"/>
    <col min="4" max="4" width="14" customWidth="1"/>
    <col min="5" max="5" width="43.28515625" style="15" customWidth="1"/>
  </cols>
  <sheetData>
    <row r="1" spans="1:5" ht="18.75" x14ac:dyDescent="0.25">
      <c r="A1" s="8" t="s">
        <v>10</v>
      </c>
      <c r="B1" s="9" t="s">
        <v>2</v>
      </c>
      <c r="C1" s="8" t="s">
        <v>66</v>
      </c>
      <c r="D1" s="8" t="s">
        <v>52</v>
      </c>
      <c r="E1" s="14" t="s">
        <v>57</v>
      </c>
    </row>
    <row r="2" spans="1:5" ht="18.75" x14ac:dyDescent="0.3">
      <c r="A2" s="28" t="s">
        <v>68</v>
      </c>
      <c r="B2" s="25"/>
      <c r="C2" s="24"/>
      <c r="D2" s="24"/>
      <c r="E2" s="26"/>
    </row>
    <row r="3" spans="1:5" x14ac:dyDescent="0.25">
      <c r="A3" s="17" t="s">
        <v>12</v>
      </c>
      <c r="B3" s="18" t="s">
        <v>56</v>
      </c>
      <c r="C3" s="17" t="s">
        <v>53</v>
      </c>
      <c r="D3" s="17">
        <v>1</v>
      </c>
    </row>
    <row r="4" spans="1:5" x14ac:dyDescent="0.25">
      <c r="A4" s="17" t="s">
        <v>12</v>
      </c>
      <c r="B4" s="18" t="s">
        <v>58</v>
      </c>
      <c r="C4" s="17" t="s">
        <v>23</v>
      </c>
      <c r="D4" s="17">
        <v>100</v>
      </c>
      <c r="E4" s="15" t="s">
        <v>59</v>
      </c>
    </row>
    <row r="5" spans="1:5" x14ac:dyDescent="0.25">
      <c r="A5" s="17" t="s">
        <v>12</v>
      </c>
      <c r="B5" s="18" t="s">
        <v>56</v>
      </c>
      <c r="C5" s="17" t="s">
        <v>54</v>
      </c>
      <c r="D5" s="17">
        <v>102</v>
      </c>
      <c r="E5" s="15" t="s">
        <v>60</v>
      </c>
    </row>
    <row r="6" spans="1:5" x14ac:dyDescent="0.25">
      <c r="A6" s="17" t="s">
        <v>12</v>
      </c>
      <c r="B6" s="18" t="s">
        <v>61</v>
      </c>
      <c r="C6" s="17" t="s">
        <v>37</v>
      </c>
      <c r="D6" s="17">
        <v>105</v>
      </c>
      <c r="E6" s="15" t="s">
        <v>59</v>
      </c>
    </row>
    <row r="7" spans="1:5" x14ac:dyDescent="0.25">
      <c r="A7" s="17" t="s">
        <v>18</v>
      </c>
      <c r="B7" s="18" t="s">
        <v>41</v>
      </c>
      <c r="C7" s="17" t="s">
        <v>55</v>
      </c>
      <c r="D7" s="17">
        <v>106</v>
      </c>
    </row>
    <row r="8" spans="1:5" x14ac:dyDescent="0.25">
      <c r="A8" s="17" t="s">
        <v>18</v>
      </c>
      <c r="B8" s="18" t="s">
        <v>62</v>
      </c>
      <c r="C8" s="17" t="s">
        <v>44</v>
      </c>
      <c r="D8" s="17">
        <v>107</v>
      </c>
      <c r="E8" s="15" t="s">
        <v>63</v>
      </c>
    </row>
    <row r="9" spans="1:5" x14ac:dyDescent="0.25">
      <c r="A9" s="17" t="s">
        <v>18</v>
      </c>
      <c r="B9" s="18" t="s">
        <v>62</v>
      </c>
      <c r="C9" s="17" t="s">
        <v>46</v>
      </c>
      <c r="D9" s="17">
        <v>108</v>
      </c>
      <c r="E9" s="15" t="s">
        <v>64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2199A-A215-44C2-9B93-04E9850DC691}">
  <dimension ref="A1:H7"/>
  <sheetViews>
    <sheetView workbookViewId="0">
      <selection activeCell="C20" sqref="C20"/>
    </sheetView>
  </sheetViews>
  <sheetFormatPr baseColWidth="10" defaultRowHeight="15" x14ac:dyDescent="0.25"/>
  <cols>
    <col min="1" max="3" width="23.7109375" style="6" customWidth="1"/>
    <col min="4" max="4" width="49.42578125" style="20" customWidth="1"/>
  </cols>
  <sheetData>
    <row r="1" spans="1:8" ht="18.75" x14ac:dyDescent="0.3">
      <c r="A1" s="12" t="s">
        <v>11</v>
      </c>
      <c r="B1" s="12" t="s">
        <v>66</v>
      </c>
      <c r="C1" s="12" t="s">
        <v>52</v>
      </c>
      <c r="D1" s="19" t="s">
        <v>57</v>
      </c>
      <c r="E1" s="10"/>
      <c r="F1" s="10"/>
      <c r="G1" s="10"/>
      <c r="H1" s="10"/>
    </row>
    <row r="2" spans="1:8" ht="18.75" x14ac:dyDescent="0.3">
      <c r="A2" s="27" t="s">
        <v>67</v>
      </c>
      <c r="B2" s="21"/>
      <c r="C2" s="21"/>
      <c r="D2" s="22"/>
    </row>
    <row r="3" spans="1:8" x14ac:dyDescent="0.25">
      <c r="A3" s="11" t="s">
        <v>16</v>
      </c>
      <c r="B3" s="23" t="s">
        <v>17</v>
      </c>
      <c r="C3" s="11">
        <v>0</v>
      </c>
      <c r="D3" s="16"/>
    </row>
    <row r="4" spans="1:8" x14ac:dyDescent="0.25">
      <c r="A4" s="11" t="s">
        <v>24</v>
      </c>
      <c r="B4" s="23" t="s">
        <v>89</v>
      </c>
      <c r="C4" s="11">
        <v>1</v>
      </c>
      <c r="D4" s="16"/>
    </row>
    <row r="5" spans="1:8" x14ac:dyDescent="0.25">
      <c r="A5" s="11" t="s">
        <v>30</v>
      </c>
      <c r="B5" s="23" t="s">
        <v>31</v>
      </c>
      <c r="C5" s="11">
        <v>2</v>
      </c>
      <c r="D5" s="16"/>
    </row>
    <row r="6" spans="1:8" x14ac:dyDescent="0.25">
      <c r="A6" s="11" t="s">
        <v>38</v>
      </c>
      <c r="B6" s="23" t="s">
        <v>89</v>
      </c>
      <c r="C6" s="11">
        <v>3</v>
      </c>
      <c r="D6" s="16"/>
    </row>
    <row r="7" spans="1:8" x14ac:dyDescent="0.25">
      <c r="A7" s="11" t="s">
        <v>65</v>
      </c>
      <c r="B7" s="23" t="s">
        <v>42</v>
      </c>
      <c r="C7" s="11">
        <v>4</v>
      </c>
      <c r="D7" s="16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1BAD4-77B9-44DC-8065-81AD27F10A33}">
  <dimension ref="A1:G13"/>
  <sheetViews>
    <sheetView workbookViewId="0">
      <selection activeCell="B29" sqref="B29"/>
    </sheetView>
  </sheetViews>
  <sheetFormatPr baseColWidth="10" defaultRowHeight="15" x14ac:dyDescent="0.25"/>
  <cols>
    <col min="1" max="1" width="27.7109375" style="29" customWidth="1"/>
    <col min="2" max="2" width="29" style="31" customWidth="1"/>
    <col min="3" max="3" width="15" style="31" customWidth="1"/>
    <col min="4" max="4" width="35.28515625" style="33" customWidth="1"/>
    <col min="5" max="16384" width="11.42578125" style="32"/>
  </cols>
  <sheetData>
    <row r="1" spans="1:7" s="31" customFormat="1" ht="18.75" customHeight="1" x14ac:dyDescent="0.3">
      <c r="A1" s="35" t="s">
        <v>69</v>
      </c>
      <c r="B1" s="36" t="s">
        <v>11</v>
      </c>
      <c r="C1" s="36" t="s">
        <v>52</v>
      </c>
      <c r="D1" s="37" t="s">
        <v>57</v>
      </c>
    </row>
    <row r="2" spans="1:7" ht="18.75" x14ac:dyDescent="0.25">
      <c r="A2" s="63" t="s">
        <v>91</v>
      </c>
      <c r="B2" s="61"/>
      <c r="C2" s="61"/>
      <c r="D2" s="62"/>
      <c r="F2" s="34"/>
      <c r="G2" s="34"/>
    </row>
    <row r="3" spans="1:7" x14ac:dyDescent="0.25">
      <c r="A3" s="30" t="s">
        <v>0</v>
      </c>
      <c r="B3" s="23" t="s">
        <v>70</v>
      </c>
      <c r="C3" s="23">
        <v>-1</v>
      </c>
      <c r="D3" s="38" t="s">
        <v>71</v>
      </c>
      <c r="F3" s="34"/>
      <c r="G3" s="34"/>
    </row>
    <row r="4" spans="1:7" x14ac:dyDescent="0.25">
      <c r="A4" s="41" t="s">
        <v>0</v>
      </c>
      <c r="B4" s="41" t="s">
        <v>72</v>
      </c>
      <c r="C4" s="41">
        <v>-2</v>
      </c>
      <c r="D4" s="42" t="s">
        <v>74</v>
      </c>
      <c r="F4" s="34"/>
      <c r="G4" s="34"/>
    </row>
    <row r="5" spans="1:7" x14ac:dyDescent="0.25">
      <c r="A5" s="30" t="s">
        <v>73</v>
      </c>
      <c r="B5" s="23" t="s">
        <v>12</v>
      </c>
      <c r="C5" s="23" t="s">
        <v>13</v>
      </c>
      <c r="D5" s="39"/>
      <c r="F5" s="34"/>
      <c r="G5" s="34"/>
    </row>
    <row r="6" spans="1:7" x14ac:dyDescent="0.25">
      <c r="A6" s="30" t="s">
        <v>73</v>
      </c>
      <c r="B6" s="23" t="s">
        <v>18</v>
      </c>
      <c r="C6" s="23" t="s">
        <v>19</v>
      </c>
      <c r="D6" s="39"/>
      <c r="E6" s="34"/>
      <c r="F6" s="34"/>
      <c r="G6" s="34"/>
    </row>
    <row r="7" spans="1:7" x14ac:dyDescent="0.25">
      <c r="A7" s="30" t="s">
        <v>73</v>
      </c>
      <c r="B7" s="23" t="s">
        <v>25</v>
      </c>
      <c r="C7" s="23" t="s">
        <v>26</v>
      </c>
      <c r="D7" s="40"/>
    </row>
    <row r="8" spans="1:7" x14ac:dyDescent="0.25">
      <c r="A8" s="41" t="s">
        <v>73</v>
      </c>
      <c r="B8" s="41" t="s">
        <v>32</v>
      </c>
      <c r="C8" s="41" t="s">
        <v>33</v>
      </c>
      <c r="D8" s="43"/>
    </row>
    <row r="9" spans="1:7" x14ac:dyDescent="0.25">
      <c r="A9" s="30" t="s">
        <v>1</v>
      </c>
      <c r="B9" s="17" t="s">
        <v>14</v>
      </c>
      <c r="C9" s="17">
        <v>0</v>
      </c>
    </row>
    <row r="10" spans="1:7" x14ac:dyDescent="0.25">
      <c r="A10" s="30" t="s">
        <v>1</v>
      </c>
      <c r="B10" s="17" t="s">
        <v>20</v>
      </c>
      <c r="C10" s="17">
        <v>1</v>
      </c>
    </row>
    <row r="11" spans="1:7" x14ac:dyDescent="0.25">
      <c r="A11" s="30" t="s">
        <v>1</v>
      </c>
      <c r="B11" s="17" t="s">
        <v>27</v>
      </c>
      <c r="C11" s="17">
        <v>2</v>
      </c>
    </row>
    <row r="12" spans="1:7" ht="18.75" customHeight="1" x14ac:dyDescent="0.25">
      <c r="A12" s="30" t="s">
        <v>1</v>
      </c>
      <c r="B12" s="17" t="s">
        <v>34</v>
      </c>
      <c r="C12" s="17">
        <v>3</v>
      </c>
    </row>
    <row r="13" spans="1:7" x14ac:dyDescent="0.25">
      <c r="A13" s="41" t="s">
        <v>1</v>
      </c>
      <c r="B13" s="44" t="s">
        <v>39</v>
      </c>
      <c r="C13" s="44">
        <v>4</v>
      </c>
      <c r="D13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Radiation models</vt:lpstr>
      <vt:lpstr>Annealing models</vt:lpstr>
      <vt:lpstr>Composition models</vt:lpstr>
      <vt:lpstr>Crystal 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Derycke</dc:creator>
  <cp:lastModifiedBy>Alexis Derycke</cp:lastModifiedBy>
  <dcterms:created xsi:type="dcterms:W3CDTF">2026-01-13T12:28:42Z</dcterms:created>
  <dcterms:modified xsi:type="dcterms:W3CDTF">2026-01-13T13:23:08Z</dcterms:modified>
</cp:coreProperties>
</file>